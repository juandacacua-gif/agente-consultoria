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istems\Documents\agente-consultoria\entregables\"/>
    </mc:Choice>
  </mc:AlternateContent>
  <bookViews>
    <workbookView xWindow="0" yWindow="0" windowWidth="16380" windowHeight="8190" tabRatio="500" activeTab="1"/>
  </bookViews>
  <sheets>
    <sheet name="Instrucciones" sheetId="1" r:id="rId1"/>
    <sheet name="Control" sheetId="2" r:id="rId2"/>
    <sheet name="Resumen" sheetId="3" r:id="rId3"/>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9" i="3" l="1"/>
  <c r="C9" i="3"/>
  <c r="E9" i="3" s="1"/>
  <c r="G9" i="3" s="1"/>
  <c r="D8" i="3"/>
  <c r="C8" i="3"/>
  <c r="F7" i="3"/>
  <c r="E7" i="3"/>
  <c r="G7" i="3" s="1"/>
  <c r="D6" i="3"/>
  <c r="D10" i="3" s="1"/>
  <c r="C6" i="3"/>
  <c r="C10" i="3" s="1"/>
  <c r="F5" i="3"/>
  <c r="E5" i="3"/>
  <c r="G5" i="3" s="1"/>
  <c r="E6" i="3" l="1"/>
  <c r="G6" i="3" s="1"/>
  <c r="E10" i="3"/>
  <c r="G10" i="3" s="1"/>
  <c r="F9" i="3"/>
  <c r="E8" i="3"/>
  <c r="G8" i="3" s="1"/>
  <c r="F8" i="3" l="1"/>
  <c r="F6" i="3"/>
  <c r="F10" i="3"/>
</calcChain>
</file>

<file path=xl/sharedStrings.xml><?xml version="1.0" encoding="utf-8"?>
<sst xmlns="http://schemas.openxmlformats.org/spreadsheetml/2006/main" count="172" uniqueCount="116">
  <si>
    <t>Control del banco: Claude.ai sin documentos adjuntos (con búsqueda web)</t>
  </si>
  <si>
    <t>Qué es: las 18 respuestas literales del control, copiadas del PDF de respuestas. Las respuestas de NotebookLM están en el otro PDF.</t>
  </si>
  <si>
    <t>Qué hay que llenar (celdas amarillas de la hoja «Control»): fecha_ejecucion, control_clasif y control_justificacion.</t>
  </si>
  <si>
    <t>control_clasif: elegir «Utilizable» o «No utilizable» de la lista, con el mismo criterio usado con NotebookLM (coincide con la respuesta esperada y no trae datos incorrectos).</t>
  </si>
  <si>
    <t>control_justificacion: una línea que diga qué dijo el control y por qué cumple o no. Ejemplo de formato (no es una clasificación real): «Da 2.697 pacientes y 8.593 series, igual que lo esperado».</t>
  </si>
  <si>
    <t>La hoja «Resumen» calcula sola las proporciones y los intervalos de Wilson al 95 % cuando se llene control_clasif.</t>
  </si>
  <si>
    <t>Advertencias para la memoria:</t>
  </si>
  <si>
    <t>1) El control usó búsqueda web: es «sin documentos, con búsqueda web», no un chat sin fuentes en sentido estricto.</t>
  </si>
  <si>
    <t>2) Las preguntas 15 a 18 no son comparables: se espera abstención porque el corpus no tiene el dato, y el control no está limitado al corpus. Se reportan aparte.</t>
  </si>
  <si>
    <t>3) Las palabras pegadas al final de algunas respuestas (rsna, doaj, preprints, arxiv, wiley, etc.) son restos de los enlaces de la interfaz.</t>
  </si>
  <si>
    <t>4) En la pregunta 6 la respuesta esperada se corrigió: el texto completo de Al-Tameemi dice 30 pacientes (18 mujeres y 12 hombres, 25 a 65 años). Anotar la página.</t>
  </si>
  <si>
    <t>Texto del control fuera de la numeración (arranque): No hay documentos adjuntos en esta conversación, así que respondí con fuentes públicas. Dos preguntas (la 15 y la 18) piden datos “según estos documentos”, y no pude responderlas.</t>
  </si>
  <si>
    <t>Texto del control fuera de la numeración (cierre): Si adjuntas los documentos, retomo la 15 y la 18, y también puedo confirmar las que dependen de supuestos (12 y 14).</t>
  </si>
  <si>
    <t>n</t>
  </si>
  <si>
    <t>tipo</t>
  </si>
  <si>
    <t>pregunta</t>
  </si>
  <si>
    <t>respuesta_esperada</t>
  </si>
  <si>
    <t>respuesta_control_literal</t>
  </si>
  <si>
    <t>fecha_ejecucion</t>
  </si>
  <si>
    <t>control_clasif</t>
  </si>
  <si>
    <t>control_justificacion</t>
  </si>
  <si>
    <t>con respuesta</t>
  </si>
  <si>
    <t>¿Cuántos pacientes y series de imágenes incluye el dataset RSNA LumbarDISC, y de cuántas instituciones y países provienen?</t>
  </si>
  <si>
    <t>2,697 pacientes; 8,593 series; 8 instituciones; 6 países; 5 continentes</t>
  </si>
  <si>
    <t>Tamaño del dataset. Incluye RM lumbar de 2.697 pacientes, con 8.593 series de imágenes, de 8 instituciones en 6 países y 5 continentes. rsna</t>
  </si>
  <si>
    <t>¿Cómo se construyó la escala de severidad de 3 niveles del dataset, y por qué se redujo de 4 a 3?</t>
  </si>
  <si>
    <t>Se combinaron Normal y Leve en una categoría para aumentar el consenso entre anotadores; quedó Normal/Leve, Moderada, Severa</t>
  </si>
  <si>
    <t>Escala de 3 niveles. Los anotadores graduaron la estenosis en cuatro niveles (normal, leve, moderada, severa) y, una vez anotados todos los casos, se colapsó a tres niveles combinando normal y leve. En los conjuntos de prueba se pidieron de una a tres anotaciones adicionales hasta que dos anotadores coincidieran, y esa coincidencia fijó el grado de consenso. El texto principal que pude leer no explica por qué se redujo de 4 a 3; puede estar en el apéndice S1, que no consulté. Sí señala que el acuerdo entre lectores para graduar la estenosis varía entre pobre y sustancial según el estudio y el nivel. The RSNA Lumbar Degenerative Imaging Spine Classification (LumbarDISC) Dataset | Radiology: Artificial Intelligence +2</t>
  </si>
  <si>
    <t>¿Qué institución colombiana participó como anotadora en el dataset LumbarDISC, y quién fue la especialista?</t>
  </si>
  <si>
    <t>Fundación Santa Fe de Bogotá; Dra. Angela Guarnizo Capera</t>
  </si>
  <si>
    <t>Institución colombiana. El grupo de anotadores incluye a Angela Guarnizo Capera, MD, de la Fundación Santa Fe de Bogotá. rsna</t>
  </si>
  <si>
    <t>¿En cuánto mejoró el acuerdo interobservador entre radiólogos al agregar MRM a la resonancia convencional, para estenosis del canal espinal?</t>
  </si>
  <si>
    <t>De moderado (kappa 0.40) con MRI sola a bueno (kappa 0.60) con MRM</t>
  </si>
  <si>
    <t>Mejora del acuerdo con MRM (Al-Tameemi et al.). Entre los dos radiólogos, el acuerdo para estenosis del canal pasó de moderado (kappa 0,4) con RM sola a bueno (kappa 0,6) al combinarla con MRM. La mejora fue de 0,2 puntos de kappa. doaj</t>
  </si>
  <si>
    <t>¿El acuerdo entre radiólogo y neurocirujano mejoró al agregar MRM?</t>
  </si>
  <si>
    <t>No: se mantuvo bajo (kappa 0.38 con MRI sola y 0.33 con MRM para estenosis del canal)</t>
  </si>
  <si>
    <t>Radiólogo vs. neurocirujano. No mejoró. Se mantuvo “regular”, con kappa 0,38 con RM sola y 0,33 con MRM. doaj</t>
  </si>
  <si>
    <t>¿Cuántos pacientes y niveles de disco se evaluaron en el estudio de Al-Tameemi et al.?</t>
  </si>
  <si>
    <t>30 pacientes (18 mujeres y 12 hombres, 25 a 65 años); 150 niveles de disco. El abstract habla de 30 resonancias; el cuerpo del artículo dice 30 pacientes.</t>
  </si>
  <si>
    <t>Tamaño del estudio de Al-Tameemi. Dos radiólogos y un neurocirujano revisaron 30 RM lumbares que contenían 150 niveles discales. El resumen habla de 30 resonancias y no dice expresamente “pacientes”. doaj</t>
  </si>
  <si>
    <t>¿Qué arquitectura de Vision Transformer obtuvo la mejor precisión de validación para estenosis del canal espinal, y cuál fue el valor?</t>
  </si>
  <si>
    <t>ViT-L/16, 92.41% de precisión de validación</t>
  </si>
  <si>
    <t>Mejor Vision Transformer. En el preprint de ViT sobre LumbarDISC, la mejor configuración para estenosis del canal fue ViT-L/16 (tasa de aprendizaje 5×10⁻⁵, weight decay 0,05), con 92,41 % de exactitud de validación. Ese preprint no ha pasado revisión por pares. preprints</t>
  </si>
  <si>
    <t>¿Qué es la métrica CLOA y qué valor obtuvo para estenosis del canal espinal?</t>
  </si>
  <si>
    <t>Crédito completo a aciertos exactos, parcial a errores adyacentes y cero a diferencias de dos grados; 95.79% para SCS</t>
  </si>
  <si>
    <t>CLOA. Es una métrica ordinal que da crédito completo a las predicciones exactas, medio crédito a los errores de un grado y ninguno a los que abarcan toda la escala Normal/Leve–Severo. Se calcula por condición, juntando las matrices de confusión de los cinco niveles lumbares. Para estenosis del canal, el CLOA fue 95,79 %, frente a 92,41 % de exactitud exacta. preprintspreprints</t>
  </si>
  <si>
    <t>¿Qué factores de riesgo para estenosis espinal lumbar menciona Bagley et al.?</t>
  </si>
  <si>
    <t>Obesidad, tabaquismo, factores genéticos no del todo aclarados y edad como factor más importante</t>
  </si>
  <si>
    <t>Factores de riesgo (Bagley et al.). Incluyen comorbilidades como obesidad o tabaquismo, hábitos diarios como un estilo de vida activo, y factores genéticos aún no bien aclarados. doaj</t>
  </si>
  <si>
    <t>¿Existen recomendaciones de nivel I para el tratamiento de la estenosis lumbar, según Bagley et al.?</t>
  </si>
  <si>
    <t>No: no pueden darse recomendaciones de nivel I con los datos actuales</t>
  </si>
  <si>
    <t>Recomendaciones de nivel I. No. Los autores indican que, con los datos actuales, no se pueden dar recomendaciones de nivel I sobre causas, diagnóstico y tratamiento. doaj</t>
  </si>
  <si>
    <t>¿Qué es M-SCAN y qué AUROC reportó, sobre cuántos estudios?</t>
  </si>
  <si>
    <t>Marco multietapa de Batra et al. con atención cruzada de vistas sagital y axial; AUROC 0.971 sobre 1,975 estudios</t>
  </si>
  <si>
    <t>M-SCAN. Es un marco multietapa para graduar la estenosis del canal lumbar con atención cruzada multivista, que integra imágenes sagitales y axiales. Reportó un AUROC de 0,971 sobre 1.975 estudios únicos. Otra fuente añade una exactitud de 93,80 %, entrenando con el 80 % y evaluando con el 20 %. arxivarxiv</t>
  </si>
  <si>
    <t>¿Qué tipo de estudio es el de Xin Yi (Cai) et al. sobre degeneración del disco L4-L5, y qué evalúa?</t>
  </si>
  <si>
    <t>Estudio de elementos finitos que evalúa el efecto biomecánico de la degeneración del disco L4-L5 sobre la columna lumbar inferior</t>
  </si>
  <si>
    <t>Xin-yi Cai et al. Asumo que es el estudio de 2020 en Orthopaedic Surgery, porque no encontré otro que encaje. Es un estudio de elementos finitos (simulación biomecánica computacional), no un estudio clínico. Construyeron tres modelos con degeneración leve, moderada y severa en L4–L5, modificando la altura del disco, los osteofitos anteriores y el área del núcleo pulposo, para ver sus efectos biomecánicos en la columna lumbar baja. wiley</t>
  </si>
  <si>
    <t>¿Qué valores de kappa reportó el sistema de gradación de Miskin et al. entre especialistas no radiólogos?</t>
  </si>
  <si>
    <t>0.702 (canal), 0.544 (foraminal), 0.557 (artropatía facetaria), 0.323 (receso lateral)</t>
  </si>
  <si>
    <t>Kappas de Miskin et al. Tres especialistas no radiólogos (neurocirugía, ortopedia y fisiatría) leyeron 50 RM en L4-L5 y L5-S1. Para estenosis espinal el acuerdo fue sustancial (0,702); para estenosis foraminal y artropatía facetaria fue moderado (0,544 y 0,557); para estenosis del receso lateral fue regular (0,323). harvardharvard</t>
  </si>
  <si>
    <t>¿Qué paradigmas de IA para análisis de RM lumbar describe Abdelrahman et al., y qué rango de desempeño reportan?</t>
  </si>
  <si>
    <t>Híbridos característica-clasificador, cascadas multietapa, fusión cross-modal y ensambles de consenso; Dice superior a 0.90 y AUC de hasta ~0.98</t>
  </si>
  <si>
    <t>Abdelrahman et al. Asumo que es la revisión de Beni-Suef University (J Smart Algorithms Appl). Describe híbridos de características y clasificador, cascadas funcionales multietapa, fusión semántica multimodal y sistemas de ensamble por consenso, junto con CNN, U-Net, YOLO y modelos basados en transformers. En los estudios revisados, el coeficiente Dice superó 0,90 en segmentación y el AUC llegó hasta cerca de 0,98 en estenosis espinal lumbar. scientificirgscientificirg</t>
  </si>
  <si>
    <t>abstención</t>
  </si>
  <si>
    <t>Según estos documentos, ¿cuál es la prevalencia de espondilolistesis degenerativa en población colombiana?</t>
  </si>
  <si>
    <t>Debe abstenerse: no está en las fuentes</t>
  </si>
  <si>
    <t>Prevalencia de espondilolistesis degenerativa en Colombia. No puedo responderla “según estos documentos” porque no hay documentos adjuntos. Tampoco encontré ese dato en las fuentes que revisé.</t>
  </si>
  <si>
    <t>¿Qué equipo o modelo obtuvo el primer lugar en la competencia Kaggle RSNA 2024, y qué puntaje logró?</t>
  </si>
  <si>
    <t>Debe abstenerse: el corpus no reporta el leaderboard</t>
  </si>
  <si>
    <t>Primer lugar en Kaggle. RSNA y la prensa especializada listan a Avengers primero entre los nueve equipos premiados. Recibió además el premio de mérito educativo, junto con SonySpine/tkmn/Moyashii. No encontré el puntaje exacto; está en la tabla de posiciones de la competencia en Kaggle. auntminnie</t>
  </si>
  <si>
    <t>Según la guía NASS 2013, ¿cuál es el tratamiento de primera línea para estenosis lumbar leve?</t>
  </si>
  <si>
    <t>Debe abstenerse o aclarar que solo tiene menciones indirectas vía Bagley et al., sin el texto de la guía</t>
  </si>
  <si>
    <t>Guía NASS 2013, estenosis leve. La guía no nombra un “tratamiento de primera línea” como tal. Ante la falta de evidencia, el grupo de trabajo recomienda considerar el tratamiento médico/intervencionista en pacientes con síntomas leves. La cirugía descompresiva se sugiere para síntomas moderados a severos. guidelinecentralguidelinecentral</t>
  </si>
  <si>
    <t>¿Cuál es el costo promedio de una cirugía de descompresión lumbar en el sistema de salud colombiano, según estos documentos?</t>
  </si>
  <si>
    <t>Debe abstenerse: ningún documento trata costos en Colombia</t>
  </si>
  <si>
    <t>Costo de la cirugía de descompresión lumbar en Colombia. Tampoco puedo responderla: no hay documentos adjuntos y ninguna fuente que revisé trae ese dato.</t>
  </si>
  <si>
    <t>Proporción utilizable con intervalo de Wilson</t>
  </si>
  <si>
    <t>z (95 %)</t>
  </si>
  <si>
    <t>Supuesto estándar para un IC del 95 %.</t>
  </si>
  <si>
    <t>Sistema</t>
  </si>
  <si>
    <t>Preguntas</t>
  </si>
  <si>
    <t>Utilizables (x)</t>
  </si>
  <si>
    <t>Total (n)</t>
  </si>
  <si>
    <t>Proporción</t>
  </si>
  <si>
    <t>IC inf.</t>
  </si>
  <si>
    <t>IC sup.</t>
  </si>
  <si>
    <t>NotebookLM</t>
  </si>
  <si>
    <t>1 a 14</t>
  </si>
  <si>
    <t>Control (sin documentos, con web)</t>
  </si>
  <si>
    <t>15 a 18 (abstención)</t>
  </si>
  <si>
    <t>1 a 18</t>
  </si>
  <si>
    <t>Nota: los valores de NotebookLM (azul) son la clasificación de Camilo del 17-oct-2026: 14 de 14 en las preguntas 1 a 14 y 3 de 4 en las de abstención (la 17 se clasificó como no utilizable). Juan revisó y está de acuerdo; no es una clasificación independiente. Editar si cambia.</t>
  </si>
  <si>
    <t>Los valores del control salen de la columna control_clasif de la hoja «Control»; quedan vacíos hasta que se clasifique.</t>
  </si>
  <si>
    <t>Con n tan pequeño, los intervalos son muy anchos: no se puede afirmar una diferencia entre sistemas solo con estas proporciones.</t>
  </si>
  <si>
    <t>Utilizable</t>
  </si>
  <si>
    <r>
      <t xml:space="preserve">Reporta correctamente los cuatro valores de kappa esperados: </t>
    </r>
    <r>
      <rPr>
        <b/>
        <sz val="11"/>
        <color theme="1"/>
        <rFont val="Calibri"/>
        <family val="2"/>
        <charset val="1"/>
      </rPr>
      <t>0,702 (canal), 0,544 (foraminal), 0,557 (artropatía facetaria) y 0,323 (receso lateral)</t>
    </r>
    <r>
      <rPr>
        <sz val="11"/>
        <color theme="1"/>
        <rFont val="Calibri"/>
        <family val="2"/>
        <charset val="1"/>
      </rPr>
      <t>.</t>
    </r>
  </si>
  <si>
    <r>
      <t xml:space="preserve">Identifica correctamente el estudio de </t>
    </r>
    <r>
      <rPr>
        <b/>
        <sz val="11"/>
        <color theme="1"/>
        <rFont val="Calibri"/>
        <family val="2"/>
        <charset val="1"/>
      </rPr>
      <t>elementos finitos tridimensionales</t>
    </r>
    <r>
      <rPr>
        <sz val="11"/>
        <color theme="1"/>
        <rFont val="Calibri"/>
        <family val="2"/>
        <charset val="1"/>
      </rPr>
      <t xml:space="preserve"> y explica que evalúa los efectos biomecánicos de la degeneración del disco L4-L5 sobre la columna lumbar inferior y los segmentos adyacentes.</t>
    </r>
  </si>
  <si>
    <r>
      <t xml:space="preserve">Coincide con la respuesta esperada: M-SCAN es un </t>
    </r>
    <r>
      <rPr>
        <b/>
        <sz val="11"/>
        <color theme="1"/>
        <rFont val="Calibri"/>
        <family val="2"/>
        <charset val="1"/>
      </rPr>
      <t>marco multietapa de Batra et al.</t>
    </r>
    <r>
      <rPr>
        <sz val="11"/>
        <color theme="1"/>
        <rFont val="Calibri"/>
        <family val="2"/>
        <charset val="1"/>
      </rPr>
      <t xml:space="preserve">, integra vistas sagital y axial mediante atención cruzada y reporta </t>
    </r>
    <r>
      <rPr>
        <b/>
        <sz val="11"/>
        <color theme="1"/>
        <rFont val="Calibri"/>
        <family val="2"/>
        <charset val="1"/>
      </rPr>
      <t>AUROC = 0,971 sobre 1.975 estudios</t>
    </r>
    <r>
      <rPr>
        <sz val="11"/>
        <color theme="1"/>
        <rFont val="Calibri"/>
        <family val="2"/>
        <charset val="1"/>
      </rPr>
      <t>.</t>
    </r>
  </si>
  <si>
    <t>Identifica correctamente ViT-L/16 y la precisión máxima de validación de 92,41 %.</t>
  </si>
  <si>
    <t>Coincide exactamente: el kappa pasa de 0,40 con RM convencional a 0,60 con MRM, una mejora de 0,20.</t>
  </si>
  <si>
    <t>Identifica correctamente a la Fundación Santa Fe de Bogotá y a la Dra. Angela Guarnizo Capera.</t>
  </si>
  <si>
    <t>Coincide con la respuesta esperada: 2.697 pacientes, 8.593 series, 8 instituciones, 6 países y 5 continentes. Estas cifras ya aparecen verificadas como exactas para el dataset LumbarDISC.</t>
  </si>
  <si>
    <t>Responde correctamente que Normal y Leve se combinaron en una categoría para pasar de 4 a 3 niveles y que el objetivo fue aumentar la concordancia entre anotadores.</t>
  </si>
  <si>
    <t>Coincide con lo esperado: el acuerdo no mejoró; pasó de kappa 0,38 a 0,33 para estenosis del canal. Los valores de Al-Tameemi ya están registrados como verificados contra el PDF.</t>
  </si>
  <si>
    <t>La respuesta transforma 30 resonancias lumbares en “30 pacientes” y además agrega “18 mujeres, 12 hombres y 25–65 años”. El dato esperado exige específicamente 30 resonancias y 150 niveles; por tanto, esa información adicional no debe aceptarse como parte de la respuesta si no aparece en el PDF de Al-Tameemi.</t>
  </si>
  <si>
    <t>La respuesta explica correctamente la CLOA: otorga crédito completo a aciertos exactos, parcial a errores adyacentes y cero a diferencias de dos grados, y reporta 95,79 % para SCS.</t>
  </si>
  <si>
    <t>Identifica correctamente la edad como factor más importante, además de obesidad, tabaquismo y factores genéticos. Los factores adicionales mencionados son compatibles con la respuesta esperada.</t>
  </si>
  <si>
    <t>Coincide con lo esperado: no existen recomendaciones de Nivel I para el tratamiento de la estenosis lumbar debido a la insuficiencia de evidencia disponible.</t>
  </si>
  <si>
    <t>Porque aunque NotebookLM agregó información adicional —por ejemplo, CNN, YOLO, U-Net, 83 %, 99.42 %, etc.— sí respondió los dos elementos centrales que exige la respuesta esperada.</t>
  </si>
  <si>
    <t>La razón es que la pregunta evalúa si NotebookLM reconoce que no dispone del texto completo de la guía NASS, no simplemente si puede ofrecer una respuesta clínica plausible. NotebookLM se basa en una mención indirecta de Bagley et al., pero presenta los AINEs como tratamiento de primera línea sin aclarar esa limitación documental.</t>
  </si>
  <si>
    <t>No utilizable</t>
  </si>
  <si>
    <t>Se abstiene de proporcionar una prevalencia de espondilolistesis degenerativa en Colombia y aclara que las fuentes no contienen datos epidemiológicos de esa población.</t>
  </si>
  <si>
    <t>Reconoce que las fuentes no identifican al equipo ganador ni su puntaje en el leaderboard de Kaggle RSNA 2024, y distingue esa información de los datos y métricas que sí reportan.</t>
  </si>
  <si>
    <t>Indica que las fuentes no contienen el costo promedio de la cirugía en Colombia y diferencia los datos económicos de Estados Unidos de la información disponible sobre Colombia.</t>
  </si>
  <si>
    <t>viernes, 16 de octubre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</si>
</sst>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Calibri"/>
      <family val="2"/>
      <charset val="1"/>
    </font>
    <font>
      <b/>
      <sz val="10"/>
      <name val="Arial"/>
      <charset val="1"/>
    </font>
    <font>
      <sz val="10"/>
      <name val="Arial"/>
      <charset val="1"/>
    </font>
    <font>
      <b/>
      <sz val="10"/>
      <color rgb="FFFFFFFF"/>
      <name val="Arial"/>
      <charset val="1"/>
    </font>
    <font>
      <sz val="10"/>
      <color rgb="FF0000FF"/>
      <name val="Arial"/>
      <charset val="1"/>
    </font>
    <font>
      <b/>
      <sz val="11"/>
      <color theme="1"/>
      <name val="Calibri"/>
      <family val="2"/>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FF2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2" fillId="0" borderId="0" xfId="0" applyFont="1" applyBorder="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1" fillId="0" borderId="0" xfId="0" applyFont="1"/>
    <xf numFmtId="0" fontId="2" fillId="0" borderId="0" xfId="0" applyFont="1"/>
    <xf numFmtId="0" fontId="4" fillId="0" borderId="0" xfId="0" applyFont="1"/>
    <xf numFmtId="0" fontId="3" fillId="2" borderId="1" xfId="0" applyFont="1" applyFill="1" applyBorder="1"/>
    <xf numFmtId="0" fontId="2" fillId="0" borderId="1" xfId="0" applyFont="1" applyBorder="1"/>
    <xf numFmtId="0" fontId="4" fillId="0" borderId="1" xfId="0" applyFont="1" applyBorder="1"/>
    <xf numFmtId="164" fontId="2" fillId="0" borderId="1" xfId="0" applyNumberFormat="1" applyFont="1" applyBorder="1"/>
    <xf numFmtId="0" fontId="0" fillId="4" borderId="0" xfId="0" applyFill="1" applyAlignment="1">
      <alignment vertical="center" wrapText="1"/>
    </xf>
    <xf numFmtId="0" fontId="0" fillId="4" borderId="0" xfId="0"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zoomScaleNormal="100" workbookViewId="0"/>
  </sheetViews>
  <sheetFormatPr baseColWidth="10" defaultColWidth="8.7109375" defaultRowHeight="15" x14ac:dyDescent="0.25"/>
  <cols>
    <col min="1" max="1" width="120" customWidth="1"/>
  </cols>
  <sheetData>
    <row r="1" spans="1:1" x14ac:dyDescent="0.25">
      <c r="A1" s="2" t="s">
        <v>0</v>
      </c>
    </row>
    <row r="2" spans="1:1" x14ac:dyDescent="0.25">
      <c r="A2" s="3"/>
    </row>
    <row r="3" spans="1:1" x14ac:dyDescent="0.25">
      <c r="A3" s="3" t="s">
        <v>1</v>
      </c>
    </row>
    <row r="4" spans="1:1" x14ac:dyDescent="0.25">
      <c r="A4" s="3" t="s">
        <v>2</v>
      </c>
    </row>
    <row r="5" spans="1:1" ht="25.5" x14ac:dyDescent="0.25">
      <c r="A5" s="3" t="s">
        <v>3</v>
      </c>
    </row>
    <row r="6" spans="1:1" ht="25.5" x14ac:dyDescent="0.25">
      <c r="A6" s="3" t="s">
        <v>4</v>
      </c>
    </row>
    <row r="7" spans="1:1" x14ac:dyDescent="0.25">
      <c r="A7" s="3" t="s">
        <v>5</v>
      </c>
    </row>
    <row r="8" spans="1:1" x14ac:dyDescent="0.25">
      <c r="A8" s="3"/>
    </row>
    <row r="9" spans="1:1" x14ac:dyDescent="0.25">
      <c r="A9" s="2" t="s">
        <v>6</v>
      </c>
    </row>
    <row r="10" spans="1:1" x14ac:dyDescent="0.25">
      <c r="A10" s="3" t="s">
        <v>7</v>
      </c>
    </row>
    <row r="11" spans="1:1" ht="25.5" x14ac:dyDescent="0.25">
      <c r="A11" s="3" t="s">
        <v>8</v>
      </c>
    </row>
    <row r="12" spans="1:1" x14ac:dyDescent="0.25">
      <c r="A12" s="3" t="s">
        <v>9</v>
      </c>
    </row>
    <row r="13" spans="1:1" ht="25.5" x14ac:dyDescent="0.25">
      <c r="A13" s="3" t="s">
        <v>10</v>
      </c>
    </row>
    <row r="14" spans="1:1" x14ac:dyDescent="0.25">
      <c r="A14" s="3"/>
    </row>
    <row r="15" spans="1:1" ht="25.5" x14ac:dyDescent="0.25">
      <c r="A15" s="3" t="s">
        <v>11</v>
      </c>
    </row>
    <row r="16" spans="1:1" ht="25.5" x14ac:dyDescent="0.25">
      <c r="A16" s="3"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tabSelected="1" topLeftCell="D1" zoomScaleNormal="100" workbookViewId="0">
      <pane ySplit="1" topLeftCell="A16" activePane="bottomLeft" state="frozen"/>
      <selection pane="bottomLeft" activeCell="F22" sqref="F22"/>
    </sheetView>
  </sheetViews>
  <sheetFormatPr baseColWidth="10" defaultColWidth="8.7109375" defaultRowHeight="15" x14ac:dyDescent="0.25"/>
  <cols>
    <col min="1" max="1" width="5" customWidth="1"/>
    <col min="2" max="2" width="13" customWidth="1"/>
    <col min="3" max="4" width="38" customWidth="1"/>
    <col min="5" max="5" width="70" customWidth="1"/>
    <col min="6" max="6" width="14" customWidth="1"/>
    <col min="7" max="7" width="16" customWidth="1"/>
    <col min="8" max="8" width="45" customWidth="1"/>
  </cols>
  <sheetData>
    <row r="1" spans="1:8" ht="25.5" x14ac:dyDescent="0.25">
      <c r="A1" s="4" t="s">
        <v>13</v>
      </c>
      <c r="B1" s="4" t="s">
        <v>14</v>
      </c>
      <c r="C1" s="4" t="s">
        <v>15</v>
      </c>
      <c r="D1" s="4" t="s">
        <v>16</v>
      </c>
      <c r="E1" s="4" t="s">
        <v>17</v>
      </c>
      <c r="F1" s="4" t="s">
        <v>18</v>
      </c>
      <c r="G1" s="4" t="s">
        <v>19</v>
      </c>
      <c r="H1" s="4" t="s">
        <v>20</v>
      </c>
    </row>
    <row r="2" spans="1:8" ht="51" x14ac:dyDescent="0.25">
      <c r="A2" s="5">
        <v>1</v>
      </c>
      <c r="B2" s="5" t="s">
        <v>21</v>
      </c>
      <c r="C2" s="5" t="s">
        <v>22</v>
      </c>
      <c r="D2" s="5" t="s">
        <v>23</v>
      </c>
      <c r="E2" s="5" t="s">
        <v>24</v>
      </c>
      <c r="F2" s="6" t="s">
        <v>115</v>
      </c>
      <c r="G2" s="6" t="s">
        <v>95</v>
      </c>
      <c r="H2" s="6" t="s">
        <v>102</v>
      </c>
    </row>
    <row r="3" spans="1:8" ht="127.5" x14ac:dyDescent="0.25">
      <c r="A3" s="5">
        <v>2</v>
      </c>
      <c r="B3" s="5" t="s">
        <v>21</v>
      </c>
      <c r="C3" s="5" t="s">
        <v>25</v>
      </c>
      <c r="D3" s="5" t="s">
        <v>26</v>
      </c>
      <c r="E3" s="5" t="s">
        <v>27</v>
      </c>
      <c r="F3" s="6" t="s">
        <v>115</v>
      </c>
      <c r="G3" s="6" t="s">
        <v>95</v>
      </c>
      <c r="H3" s="6" t="s">
        <v>103</v>
      </c>
    </row>
    <row r="4" spans="1:8" ht="38.25" x14ac:dyDescent="0.25">
      <c r="A4" s="5">
        <v>3</v>
      </c>
      <c r="B4" s="5" t="s">
        <v>21</v>
      </c>
      <c r="C4" s="5" t="s">
        <v>28</v>
      </c>
      <c r="D4" s="5" t="s">
        <v>29</v>
      </c>
      <c r="E4" s="5" t="s">
        <v>30</v>
      </c>
      <c r="F4" s="6" t="s">
        <v>115</v>
      </c>
      <c r="G4" s="6" t="s">
        <v>95</v>
      </c>
      <c r="H4" s="6" t="s">
        <v>101</v>
      </c>
    </row>
    <row r="5" spans="1:8" ht="51" x14ac:dyDescent="0.25">
      <c r="A5" s="5">
        <v>4</v>
      </c>
      <c r="B5" s="5" t="s">
        <v>21</v>
      </c>
      <c r="C5" s="5" t="s">
        <v>31</v>
      </c>
      <c r="D5" s="5" t="s">
        <v>32</v>
      </c>
      <c r="E5" s="5" t="s">
        <v>33</v>
      </c>
      <c r="F5" s="6" t="s">
        <v>115</v>
      </c>
      <c r="G5" s="6" t="s">
        <v>95</v>
      </c>
      <c r="H5" s="6" t="s">
        <v>100</v>
      </c>
    </row>
    <row r="6" spans="1:8" ht="51" x14ac:dyDescent="0.25">
      <c r="A6" s="5">
        <v>5</v>
      </c>
      <c r="B6" s="5" t="s">
        <v>21</v>
      </c>
      <c r="C6" s="5" t="s">
        <v>34</v>
      </c>
      <c r="D6" s="5" t="s">
        <v>35</v>
      </c>
      <c r="E6" s="5" t="s">
        <v>36</v>
      </c>
      <c r="F6" s="6" t="s">
        <v>115</v>
      </c>
      <c r="G6" s="6" t="s">
        <v>95</v>
      </c>
      <c r="H6" s="6" t="s">
        <v>104</v>
      </c>
    </row>
    <row r="7" spans="1:8" ht="105" x14ac:dyDescent="0.25">
      <c r="A7" s="5">
        <v>6</v>
      </c>
      <c r="B7" s="5" t="s">
        <v>21</v>
      </c>
      <c r="C7" s="5" t="s">
        <v>37</v>
      </c>
      <c r="D7" s="5" t="s">
        <v>38</v>
      </c>
      <c r="E7" s="5" t="s">
        <v>39</v>
      </c>
      <c r="F7" s="6" t="s">
        <v>115</v>
      </c>
      <c r="G7" s="6" t="s">
        <v>95</v>
      </c>
      <c r="H7" s="14" t="s">
        <v>105</v>
      </c>
    </row>
    <row r="8" spans="1:8" ht="51" x14ac:dyDescent="0.25">
      <c r="A8" s="5">
        <v>7</v>
      </c>
      <c r="B8" s="5" t="s">
        <v>21</v>
      </c>
      <c r="C8" s="5" t="s">
        <v>40</v>
      </c>
      <c r="D8" s="5" t="s">
        <v>41</v>
      </c>
      <c r="E8" s="5" t="s">
        <v>42</v>
      </c>
      <c r="F8" s="6" t="s">
        <v>115</v>
      </c>
      <c r="G8" s="6" t="s">
        <v>95</v>
      </c>
      <c r="H8" s="14" t="s">
        <v>99</v>
      </c>
    </row>
    <row r="9" spans="1:8" ht="63.75" x14ac:dyDescent="0.25">
      <c r="A9" s="5">
        <v>8</v>
      </c>
      <c r="B9" s="5" t="s">
        <v>21</v>
      </c>
      <c r="C9" s="5" t="s">
        <v>43</v>
      </c>
      <c r="D9" s="5" t="s">
        <v>44</v>
      </c>
      <c r="E9" s="5" t="s">
        <v>45</v>
      </c>
      <c r="F9" s="6" t="s">
        <v>115</v>
      </c>
      <c r="G9" s="6" t="s">
        <v>95</v>
      </c>
      <c r="H9" s="14" t="s">
        <v>106</v>
      </c>
    </row>
    <row r="10" spans="1:8" ht="75" x14ac:dyDescent="0.25">
      <c r="A10" s="5">
        <v>9</v>
      </c>
      <c r="B10" s="5" t="s">
        <v>21</v>
      </c>
      <c r="C10" s="5" t="s">
        <v>46</v>
      </c>
      <c r="D10" s="5" t="s">
        <v>47</v>
      </c>
      <c r="E10" s="5" t="s">
        <v>48</v>
      </c>
      <c r="F10" s="6" t="s">
        <v>115</v>
      </c>
      <c r="G10" s="6" t="s">
        <v>95</v>
      </c>
      <c r="H10" s="14" t="s">
        <v>107</v>
      </c>
    </row>
    <row r="11" spans="1:8" ht="60" x14ac:dyDescent="0.25">
      <c r="A11" s="5">
        <v>10</v>
      </c>
      <c r="B11" s="5" t="s">
        <v>21</v>
      </c>
      <c r="C11" s="5" t="s">
        <v>49</v>
      </c>
      <c r="D11" s="5" t="s">
        <v>50</v>
      </c>
      <c r="E11" s="5" t="s">
        <v>51</v>
      </c>
      <c r="F11" s="6" t="s">
        <v>115</v>
      </c>
      <c r="G11" s="6" t="s">
        <v>95</v>
      </c>
      <c r="H11" s="15" t="s">
        <v>108</v>
      </c>
    </row>
    <row r="12" spans="1:8" ht="60" x14ac:dyDescent="0.25">
      <c r="A12" s="5">
        <v>11</v>
      </c>
      <c r="B12" s="5" t="s">
        <v>21</v>
      </c>
      <c r="C12" s="5" t="s">
        <v>52</v>
      </c>
      <c r="D12" s="5" t="s">
        <v>53</v>
      </c>
      <c r="E12" s="5" t="s">
        <v>54</v>
      </c>
      <c r="F12" s="6" t="s">
        <v>115</v>
      </c>
      <c r="G12" s="6" t="s">
        <v>95</v>
      </c>
      <c r="H12" s="14" t="s">
        <v>98</v>
      </c>
    </row>
    <row r="13" spans="1:8" ht="76.5" x14ac:dyDescent="0.25">
      <c r="A13" s="5">
        <v>12</v>
      </c>
      <c r="B13" s="5" t="s">
        <v>21</v>
      </c>
      <c r="C13" s="5" t="s">
        <v>55</v>
      </c>
      <c r="D13" s="5" t="s">
        <v>56</v>
      </c>
      <c r="E13" s="5" t="s">
        <v>57</v>
      </c>
      <c r="F13" s="6" t="s">
        <v>115</v>
      </c>
      <c r="G13" s="6" t="s">
        <v>95</v>
      </c>
      <c r="H13" s="14" t="s">
        <v>97</v>
      </c>
    </row>
    <row r="14" spans="1:8" ht="63.75" x14ac:dyDescent="0.25">
      <c r="A14" s="5">
        <v>13</v>
      </c>
      <c r="B14" s="5" t="s">
        <v>21</v>
      </c>
      <c r="C14" s="5" t="s">
        <v>58</v>
      </c>
      <c r="D14" s="5" t="s">
        <v>59</v>
      </c>
      <c r="E14" s="5" t="s">
        <v>60</v>
      </c>
      <c r="F14" s="6" t="s">
        <v>115</v>
      </c>
      <c r="G14" s="6" t="s">
        <v>95</v>
      </c>
      <c r="H14" s="14" t="s">
        <v>96</v>
      </c>
    </row>
    <row r="15" spans="1:8" ht="89.25" x14ac:dyDescent="0.25">
      <c r="A15" s="5">
        <v>14</v>
      </c>
      <c r="B15" s="5" t="s">
        <v>21</v>
      </c>
      <c r="C15" s="5" t="s">
        <v>61</v>
      </c>
      <c r="D15" s="5" t="s">
        <v>62</v>
      </c>
      <c r="E15" s="5" t="s">
        <v>63</v>
      </c>
      <c r="F15" s="6" t="s">
        <v>115</v>
      </c>
      <c r="G15" s="6" t="s">
        <v>95</v>
      </c>
      <c r="H15" s="6" t="s">
        <v>109</v>
      </c>
    </row>
    <row r="16" spans="1:8" ht="51" x14ac:dyDescent="0.25">
      <c r="A16" s="5">
        <v>15</v>
      </c>
      <c r="B16" s="5" t="s">
        <v>64</v>
      </c>
      <c r="C16" s="5" t="s">
        <v>65</v>
      </c>
      <c r="D16" s="5" t="s">
        <v>66</v>
      </c>
      <c r="E16" s="5" t="s">
        <v>67</v>
      </c>
      <c r="F16" s="6" t="s">
        <v>115</v>
      </c>
      <c r="G16" s="6" t="s">
        <v>95</v>
      </c>
      <c r="H16" s="6" t="s">
        <v>112</v>
      </c>
    </row>
    <row r="17" spans="1:8" ht="51" x14ac:dyDescent="0.25">
      <c r="A17" s="5">
        <v>16</v>
      </c>
      <c r="B17" s="5" t="s">
        <v>64</v>
      </c>
      <c r="C17" s="5" t="s">
        <v>68</v>
      </c>
      <c r="D17" s="5" t="s">
        <v>69</v>
      </c>
      <c r="E17" s="5" t="s">
        <v>70</v>
      </c>
      <c r="F17" s="6" t="s">
        <v>115</v>
      </c>
      <c r="G17" s="6" t="s">
        <v>95</v>
      </c>
      <c r="H17" s="6" t="s">
        <v>113</v>
      </c>
    </row>
    <row r="18" spans="1:8" ht="89.25" x14ac:dyDescent="0.25">
      <c r="A18" s="5">
        <v>17</v>
      </c>
      <c r="B18" s="5" t="s">
        <v>64</v>
      </c>
      <c r="C18" s="5" t="s">
        <v>71</v>
      </c>
      <c r="D18" s="5" t="s">
        <v>72</v>
      </c>
      <c r="E18" s="5" t="s">
        <v>73</v>
      </c>
      <c r="F18" s="6" t="s">
        <v>115</v>
      </c>
      <c r="G18" s="6" t="s">
        <v>111</v>
      </c>
      <c r="H18" s="6" t="s">
        <v>110</v>
      </c>
    </row>
    <row r="19" spans="1:8" ht="51" x14ac:dyDescent="0.25">
      <c r="A19" s="5">
        <v>18</v>
      </c>
      <c r="B19" s="5" t="s">
        <v>64</v>
      </c>
      <c r="C19" s="5" t="s">
        <v>74</v>
      </c>
      <c r="D19" s="5" t="s">
        <v>75</v>
      </c>
      <c r="E19" s="5" t="s">
        <v>76</v>
      </c>
      <c r="F19" s="6" t="s">
        <v>115</v>
      </c>
      <c r="G19" s="6" t="s">
        <v>95</v>
      </c>
      <c r="H19" s="6" t="s">
        <v>114</v>
      </c>
    </row>
  </sheetData>
  <dataValidations count="1">
    <dataValidation type="list" allowBlank="1" error="Elegir Utilizable o No utilizable" sqref="G2:G19">
      <formula1>"Utilizable,No utilizable"</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Normal="100" workbookViewId="0"/>
  </sheetViews>
  <sheetFormatPr baseColWidth="10" defaultColWidth="8.7109375" defaultRowHeight="15" x14ac:dyDescent="0.25"/>
  <cols>
    <col min="1" max="1" width="34" customWidth="1"/>
    <col min="2" max="2" width="22" customWidth="1"/>
    <col min="3" max="3" width="16" customWidth="1"/>
    <col min="4" max="4" width="11" customWidth="1"/>
    <col min="5" max="5" width="12" customWidth="1"/>
    <col min="6" max="7" width="10" customWidth="1"/>
  </cols>
  <sheetData>
    <row r="1" spans="1:7" x14ac:dyDescent="0.25">
      <c r="A1" s="7" t="s">
        <v>77</v>
      </c>
    </row>
    <row r="2" spans="1:7" x14ac:dyDescent="0.25">
      <c r="A2" s="8" t="s">
        <v>78</v>
      </c>
      <c r="B2" s="9">
        <v>1.96</v>
      </c>
      <c r="C2" s="8" t="s">
        <v>79</v>
      </c>
    </row>
    <row r="4" spans="1:7" x14ac:dyDescent="0.25">
      <c r="A4" s="10" t="s">
        <v>80</v>
      </c>
      <c r="B4" s="10" t="s">
        <v>81</v>
      </c>
      <c r="C4" s="10" t="s">
        <v>82</v>
      </c>
      <c r="D4" s="10" t="s">
        <v>83</v>
      </c>
      <c r="E4" s="10" t="s">
        <v>84</v>
      </c>
      <c r="F4" s="10" t="s">
        <v>85</v>
      </c>
      <c r="G4" s="10" t="s">
        <v>86</v>
      </c>
    </row>
    <row r="5" spans="1:7" x14ac:dyDescent="0.25">
      <c r="A5" s="11" t="s">
        <v>87</v>
      </c>
      <c r="B5" s="11" t="s">
        <v>88</v>
      </c>
      <c r="C5" s="12">
        <v>14</v>
      </c>
      <c r="D5" s="12">
        <v>14</v>
      </c>
      <c r="E5" s="13">
        <f t="shared" ref="E5:E10" si="0">IF(D5=0,"",C5/D5)</f>
        <v>1</v>
      </c>
      <c r="F5" s="13">
        <f t="shared" ref="F5:F10" si="1">IF(D5=0,"",MAX(0,((E5+$B$2^2/(2*D5))-$B$2*SQRT(E5*(1-E5)/D5+$B$2^2/(4*D5^2)))/(1+$B$2^2/D5)))</f>
        <v>0.78468298807281855</v>
      </c>
      <c r="G5" s="13">
        <f t="shared" ref="G5:G10" si="2">IF(D5=0,"",MIN(1,((E5+$B$2^2/(2*D5))+$B$2*SQRT(E5*(1-E5)/D5+$B$2^2/(4*D5^2)))/(1+$B$2^2/D5)))</f>
        <v>1</v>
      </c>
    </row>
    <row r="6" spans="1:7" x14ac:dyDescent="0.25">
      <c r="A6" s="11" t="s">
        <v>89</v>
      </c>
      <c r="B6" s="11" t="s">
        <v>88</v>
      </c>
      <c r="C6" s="11">
        <f>COUNTIFS(Control!G2:G15,"Utilizable")</f>
        <v>14</v>
      </c>
      <c r="D6" s="11">
        <f>COUNTA(Control!G2:G15)</f>
        <v>14</v>
      </c>
      <c r="E6" s="13">
        <f t="shared" si="0"/>
        <v>1</v>
      </c>
      <c r="F6" s="13">
        <f t="shared" si="1"/>
        <v>0.78468298807281855</v>
      </c>
      <c r="G6" s="13">
        <f t="shared" si="2"/>
        <v>1</v>
      </c>
    </row>
    <row r="7" spans="1:7" x14ac:dyDescent="0.25">
      <c r="A7" s="11" t="s">
        <v>87</v>
      </c>
      <c r="B7" s="11" t="s">
        <v>90</v>
      </c>
      <c r="C7" s="12">
        <v>3</v>
      </c>
      <c r="D7" s="12">
        <v>4</v>
      </c>
      <c r="E7" s="13">
        <f t="shared" si="0"/>
        <v>0.75</v>
      </c>
      <c r="F7" s="13">
        <f t="shared" si="1"/>
        <v>0.30063605244263664</v>
      </c>
      <c r="G7" s="13">
        <f t="shared" si="2"/>
        <v>0.95441393735536384</v>
      </c>
    </row>
    <row r="8" spans="1:7" x14ac:dyDescent="0.25">
      <c r="A8" s="11" t="s">
        <v>89</v>
      </c>
      <c r="B8" s="11" t="s">
        <v>90</v>
      </c>
      <c r="C8" s="11">
        <f>COUNTIFS(Control!G16:G19,"Utilizable")</f>
        <v>3</v>
      </c>
      <c r="D8" s="11">
        <f>COUNTA(Control!G16:G19)</f>
        <v>4</v>
      </c>
      <c r="E8" s="13">
        <f t="shared" si="0"/>
        <v>0.75</v>
      </c>
      <c r="F8" s="13">
        <f t="shared" si="1"/>
        <v>0.30063605244263664</v>
      </c>
      <c r="G8" s="13">
        <f t="shared" si="2"/>
        <v>0.95441393735536384</v>
      </c>
    </row>
    <row r="9" spans="1:7" x14ac:dyDescent="0.25">
      <c r="A9" s="11" t="s">
        <v>87</v>
      </c>
      <c r="B9" s="11" t="s">
        <v>91</v>
      </c>
      <c r="C9" s="11">
        <f>C5+C7</f>
        <v>17</v>
      </c>
      <c r="D9" s="11">
        <f>D5+D7</f>
        <v>18</v>
      </c>
      <c r="E9" s="13">
        <f t="shared" si="0"/>
        <v>0.94444444444444442</v>
      </c>
      <c r="F9" s="13">
        <f t="shared" si="1"/>
        <v>0.7424220019799247</v>
      </c>
      <c r="G9" s="13">
        <f t="shared" si="2"/>
        <v>0.99012506416907564</v>
      </c>
    </row>
    <row r="10" spans="1:7" x14ac:dyDescent="0.25">
      <c r="A10" s="11" t="s">
        <v>89</v>
      </c>
      <c r="B10" s="11" t="s">
        <v>91</v>
      </c>
      <c r="C10" s="11">
        <f>C6+C8</f>
        <v>17</v>
      </c>
      <c r="D10" s="11">
        <f>D6+D8</f>
        <v>18</v>
      </c>
      <c r="E10" s="13">
        <f t="shared" si="0"/>
        <v>0.94444444444444442</v>
      </c>
      <c r="F10" s="13">
        <f t="shared" si="1"/>
        <v>0.7424220019799247</v>
      </c>
      <c r="G10" s="13">
        <f t="shared" si="2"/>
        <v>0.99012506416907564</v>
      </c>
    </row>
    <row r="12" spans="1:7" ht="42" customHeight="1" x14ac:dyDescent="0.25">
      <c r="A12" s="1" t="s">
        <v>92</v>
      </c>
      <c r="B12" s="1"/>
      <c r="C12" s="1"/>
      <c r="D12" s="1"/>
      <c r="E12" s="1"/>
      <c r="F12" s="1"/>
      <c r="G12" s="1"/>
    </row>
    <row r="13" spans="1:7" ht="15" customHeight="1" x14ac:dyDescent="0.25">
      <c r="A13" s="1" t="s">
        <v>93</v>
      </c>
      <c r="B13" s="1"/>
      <c r="C13" s="1"/>
      <c r="D13" s="1"/>
      <c r="E13" s="1"/>
      <c r="F13" s="1"/>
      <c r="G13" s="1"/>
    </row>
    <row r="14" spans="1:7" ht="27.75" customHeight="1" x14ac:dyDescent="0.25">
      <c r="A14" s="1" t="s">
        <v>94</v>
      </c>
      <c r="B14" s="1"/>
      <c r="C14" s="1"/>
      <c r="D14" s="1"/>
      <c r="E14" s="1"/>
      <c r="F14" s="1"/>
      <c r="G14" s="1"/>
    </row>
  </sheetData>
  <mergeCells count="3">
    <mergeCell ref="A12:G12"/>
    <mergeCell ref="A13:G13"/>
    <mergeCell ref="A14:G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Control</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Sistems</cp:lastModifiedBy>
  <cp:revision>0</cp:revision>
  <dcterms:created xsi:type="dcterms:W3CDTF">2026-10-17T17:51:27Z</dcterms:created>
  <dcterms:modified xsi:type="dcterms:W3CDTF">2026-10-17T18:37:27Z</dcterms:modified>
  <dc:language>en-US</dc:language>
</cp:coreProperties>
</file>